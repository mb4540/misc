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C:\Users\m3n2ci\Downloads\"/>
    </mc:Choice>
  </mc:AlternateContent>
  <xr:revisionPtr revIDLastSave="0" documentId="8_{30DB2569-F902-4584-B185-093BADD4B50C}" xr6:coauthVersionLast="47" xr6:coauthVersionMax="47" xr10:uidLastSave="{00000000-0000-0000-0000-000000000000}"/>
  <bookViews>
    <workbookView xWindow="28815" yWindow="1035" windowWidth="26520" windowHeight="13965" xr2:uid="{00000000-000D-0000-FFFF-FFFF00000000}"/>
  </bookViews>
  <sheets>
    <sheet name="Model" sheetId="1" r:id="rId1"/>
    <sheet name="Data" sheetId="2" r:id="rId2"/>
  </sheets>
  <definedNames>
    <definedName name="Capacitor">Data!$G$2:$G$8</definedName>
    <definedName name="Diode">Data!$F$2:$F$7</definedName>
    <definedName name="Inductor">Data!$H$2:$H$3</definedName>
    <definedName name="Inputs">Model!$K$48:$N$65536</definedName>
    <definedName name="Picklist">Data!$A$2:$A$55</definedName>
    <definedName name="PinNames">Model!$B$48:$B$65536</definedName>
    <definedName name="TypeTable">Data!$A$2:$D$60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" i="1" l="1"/>
  <c r="J25" i="1" l="1"/>
  <c r="L2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4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*Accepted Values*
------------------
</t>
        </r>
        <r>
          <rPr>
            <sz val="9"/>
            <color indexed="81"/>
            <rFont val="Tahoma"/>
            <family val="2"/>
          </rPr>
          <t>- Resistor: R(ohm)
- Capacitor: F(farads)
- Ferrite Bead: R(ohm)
- Inductor: H(Henries)
- Fuses: Voltage(V)
- Diode: Voltage(V)
- Transformer (Turns Ratio)</t>
        </r>
      </text>
    </comment>
    <comment ref="L4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*Accepted Values*
------------------
- Tol: %
- Diode: I(mA)</t>
        </r>
      </text>
    </comment>
    <comment ref="M4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*Accepted Values*
------------------</t>
        </r>
        <r>
          <rPr>
            <sz val="9"/>
            <color indexed="81"/>
            <rFont val="Tahoma"/>
            <family val="2"/>
          </rPr>
          <t xml:space="preserve">
- Resistor: Pwr(mW)
- Capacitor: Voltage(V)
- Ferrite Bead: I(mA)
- Inductor: I(mA)
- Fuses: I(mA)
- Diode: Voltage(V)
</t>
        </r>
      </text>
    </comment>
    <comment ref="A4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Reminder:
</t>
        </r>
        <r>
          <rPr>
            <sz val="9"/>
            <color indexed="81"/>
            <rFont val="Tahoma"/>
            <family val="2"/>
          </rPr>
          <t>+ -  /|\# % &amp; * @ ! ~ 
are invalid characters</t>
        </r>
      </text>
    </comment>
    <comment ref="B4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Reminder:
</t>
        </r>
        <r>
          <rPr>
            <sz val="9"/>
            <color indexed="81"/>
            <rFont val="Tahoma"/>
            <family val="2"/>
          </rPr>
          <t>+ -  /|\# % &amp; * @ ! ~ 
are invalid characters</t>
        </r>
      </text>
    </comment>
  </commentList>
</comments>
</file>

<file path=xl/sharedStrings.xml><?xml version="1.0" encoding="utf-8"?>
<sst xmlns="http://schemas.openxmlformats.org/spreadsheetml/2006/main" count="274" uniqueCount="192">
  <si>
    <t>#Version</t>
  </si>
  <si>
    <t>Pin Type</t>
  </si>
  <si>
    <t>Definition</t>
  </si>
  <si>
    <t>Pin Tech</t>
  </si>
  <si>
    <t>#</t>
  </si>
  <si>
    <t>ADDB</t>
  </si>
  <si>
    <t>Address Bidirectional</t>
  </si>
  <si>
    <t>ADDI</t>
  </si>
  <si>
    <t>Address Input</t>
  </si>
  <si>
    <t>ADDO</t>
  </si>
  <si>
    <t>Address Output</t>
  </si>
  <si>
    <t>Instructions</t>
  </si>
  <si>
    <t>AIN</t>
  </si>
  <si>
    <t>Analog Input</t>
  </si>
  <si>
    <t>AN</t>
  </si>
  <si>
    <t>Analog Bidirectional</t>
  </si>
  <si>
    <t>Retrieve datasheet for selected device, store it in same folder as this file</t>
  </si>
  <si>
    <t>AOUT</t>
  </si>
  <si>
    <t>Analog Output</t>
  </si>
  <si>
    <t>Enter pin numbers/names/descriptions and Pin Type</t>
  </si>
  <si>
    <t>DATA</t>
  </si>
  <si>
    <t>Upon entering Pin Type (using Picklist), the spreadsheet will show you which fields to populate in red, filling them in turns them green</t>
  </si>
  <si>
    <t>DATI</t>
  </si>
  <si>
    <t>Data Input</t>
  </si>
  <si>
    <t>Don't insert new rows, or if you do, copy down from virgin cells above to retain formulae</t>
  </si>
  <si>
    <t>DATO</t>
  </si>
  <si>
    <t>Data Output</t>
  </si>
  <si>
    <t>DBIM</t>
  </si>
  <si>
    <t>Picklist definitions for Pin Type are at right on this tab, shaded yellow</t>
  </si>
  <si>
    <t>DBIP</t>
  </si>
  <si>
    <t>For differential pairs, you must populate column E with mating pin number</t>
  </si>
  <si>
    <t>DINM</t>
  </si>
  <si>
    <t>Differential Input +ve</t>
  </si>
  <si>
    <t>Use column U for any comments/warnings/assumptions</t>
  </si>
  <si>
    <t>DINP</t>
  </si>
  <si>
    <t>Differential Input -ve</t>
  </si>
  <si>
    <t>When complete you should not see any red cells</t>
  </si>
  <si>
    <t>DOUTM</t>
  </si>
  <si>
    <t>Differential Output +ve</t>
  </si>
  <si>
    <t>Certain devices MAY require an NDA to obtain a datasheet, advise Valydate immediately for any such devices</t>
  </si>
  <si>
    <t>DOUTP</t>
  </si>
  <si>
    <t>Differential Output -ve</t>
  </si>
  <si>
    <t>(Valydate will produce any models requiring NDA)</t>
  </si>
  <si>
    <t>BI</t>
  </si>
  <si>
    <t>Digital Bi-Directional</t>
  </si>
  <si>
    <t>IN</t>
  </si>
  <si>
    <t>Digital Input</t>
  </si>
  <si>
    <t>OUT</t>
  </si>
  <si>
    <t>FETD</t>
  </si>
  <si>
    <t>FETG</t>
  </si>
  <si>
    <t>FETS</t>
  </si>
  <si>
    <t>GATE</t>
  </si>
  <si>
    <t>GATEIN</t>
  </si>
  <si>
    <t># Package</t>
  </si>
  <si>
    <t>Pin Count</t>
  </si>
  <si>
    <t>ListCount</t>
  </si>
  <si>
    <t>Flag</t>
  </si>
  <si>
    <t>GATEOD</t>
  </si>
  <si>
    <t>&gt;""</t>
  </si>
  <si>
    <t>NC</t>
  </si>
  <si>
    <t>No Connect</t>
  </si>
  <si>
    <t># Customer Part Number</t>
  </si>
  <si>
    <t>(Use number identical to the one on the datasheet)</t>
  </si>
  <si>
    <t>OC</t>
  </si>
  <si>
    <t>Open Collector</t>
  </si>
  <si>
    <t># MFG Part Number</t>
  </si>
  <si>
    <t>OCOUT</t>
  </si>
  <si>
    <t>Open Collector Output only</t>
  </si>
  <si>
    <t>OD</t>
  </si>
  <si>
    <t>Open Drain</t>
  </si>
  <si>
    <t># Description</t>
  </si>
  <si>
    <t>ODOUT</t>
  </si>
  <si>
    <t>Open Drain Output only</t>
  </si>
  <si>
    <t>FB</t>
  </si>
  <si>
    <t>Feedback Pin</t>
  </si>
  <si>
    <t># Pincount</t>
  </si>
  <si>
    <t>GND</t>
  </si>
  <si>
    <t>Ground</t>
  </si>
  <si>
    <t>GNDOUT</t>
  </si>
  <si>
    <t>#Enviro Type</t>
  </si>
  <si>
    <t>NDA</t>
  </si>
  <si>
    <t>Custom Model</t>
  </si>
  <si>
    <t>PWR</t>
  </si>
  <si>
    <t>PWROUT</t>
  </si>
  <si>
    <t>Fixed voltage output (ie LDO)</t>
  </si>
  <si>
    <t>#Max Temp</t>
  </si>
  <si>
    <t>D</t>
  </si>
  <si>
    <t>Diode</t>
  </si>
  <si>
    <t>I</t>
  </si>
  <si>
    <t>Inductor</t>
  </si>
  <si>
    <t>#Min Temp</t>
  </si>
  <si>
    <t>R</t>
  </si>
  <si>
    <t>Resistor with mate pin (for r-nets)</t>
  </si>
  <si>
    <t>#Typical Power in mW</t>
  </si>
  <si>
    <t>#Max Power in mW</t>
  </si>
  <si>
    <t>PickList</t>
  </si>
  <si>
    <t>Pin Treatment</t>
  </si>
  <si>
    <t>#Pin Number</t>
  </si>
  <si>
    <t>Pin Name</t>
  </si>
  <si>
    <t>Pin Desc</t>
  </si>
  <si>
    <t>Special</t>
  </si>
  <si>
    <t>Pin Mate</t>
  </si>
  <si>
    <t>UP</t>
  </si>
  <si>
    <t>SER</t>
  </si>
  <si>
    <t>DN</t>
  </si>
  <si>
    <t>Vin max</t>
  </si>
  <si>
    <t>Vih</t>
  </si>
  <si>
    <t>Vil</t>
  </si>
  <si>
    <t>Vin min</t>
  </si>
  <si>
    <t>Vo max</t>
  </si>
  <si>
    <t>Voh</t>
  </si>
  <si>
    <t>Vol</t>
  </si>
  <si>
    <t>Vo min</t>
  </si>
  <si>
    <t>Vmax</t>
  </si>
  <si>
    <t>Vmin</t>
  </si>
  <si>
    <t>Pin Comment</t>
  </si>
  <si>
    <t>X</t>
  </si>
  <si>
    <t>P</t>
  </si>
  <si>
    <t>G</t>
  </si>
  <si>
    <t>Y</t>
  </si>
  <si>
    <t>DIRECTION</t>
  </si>
  <si>
    <t>MATE</t>
  </si>
  <si>
    <t>YES</t>
  </si>
  <si>
    <t>NO</t>
  </si>
  <si>
    <t>J</t>
  </si>
  <si>
    <t>Connector</t>
  </si>
  <si>
    <t>Analog Input +ve</t>
  </si>
  <si>
    <t>Analog Input -ve</t>
  </si>
  <si>
    <t>AINP</t>
  </si>
  <si>
    <t>AINM</t>
  </si>
  <si>
    <t>Value</t>
  </si>
  <si>
    <t>P/I/V</t>
  </si>
  <si>
    <t>Capacitor</t>
  </si>
  <si>
    <t>LED</t>
  </si>
  <si>
    <t>AL</t>
  </si>
  <si>
    <t>BEAD</t>
  </si>
  <si>
    <t>RECT</t>
  </si>
  <si>
    <t>ALO</t>
  </si>
  <si>
    <t>IND</t>
  </si>
  <si>
    <t>SCHOTTKY</t>
  </si>
  <si>
    <t>CER</t>
  </si>
  <si>
    <t>SWITCH</t>
  </si>
  <si>
    <t>METP</t>
  </si>
  <si>
    <t>TVS</t>
  </si>
  <si>
    <t>TANTP</t>
  </si>
  <si>
    <t>ZENER</t>
  </si>
  <si>
    <t>TANTS</t>
  </si>
  <si>
    <t>SCAP</t>
  </si>
  <si>
    <t>C</t>
  </si>
  <si>
    <t>FUSE</t>
  </si>
  <si>
    <t>Fuse</t>
  </si>
  <si>
    <t>Digital Output</t>
  </si>
  <si>
    <t>XTAL</t>
  </si>
  <si>
    <t>Crystal with mate pin</t>
  </si>
  <si>
    <t>PWRN</t>
  </si>
  <si>
    <t>Class</t>
  </si>
  <si>
    <t>Active Pin Characteristics</t>
  </si>
  <si>
    <t>#Passive Pin Characteristics</t>
  </si>
  <si>
    <t>For Power Pins</t>
  </si>
  <si>
    <t>Power (Positive)</t>
  </si>
  <si>
    <t>P1234</t>
  </si>
  <si>
    <t>P123</t>
  </si>
  <si>
    <t>Save file as Device Number (eg "SN74AUP1G34DBVR")</t>
  </si>
  <si>
    <t>You can sort below row 48, note that (only) the first 6,000 rows are populated with conditional formatting and picklists</t>
  </si>
  <si>
    <t>UNDEF</t>
  </si>
  <si>
    <t>DA</t>
  </si>
  <si>
    <t>DK</t>
  </si>
  <si>
    <t>CP</t>
  </si>
  <si>
    <t>CM</t>
  </si>
  <si>
    <t>BJTC</t>
  </si>
  <si>
    <t xml:space="preserve">BJT Collector </t>
  </si>
  <si>
    <t>BJTE</t>
  </si>
  <si>
    <t>BJT Emitter</t>
  </si>
  <si>
    <t>BJTB</t>
  </si>
  <si>
    <t>BJT Base</t>
  </si>
  <si>
    <t>Tol./I</t>
  </si>
  <si>
    <t>Data Bidirectional</t>
  </si>
  <si>
    <t>Analog Switch</t>
  </si>
  <si>
    <t>Power Supply GND Output</t>
  </si>
  <si>
    <t>Both GATE and IN</t>
  </si>
  <si>
    <t>Both GATE and OD</t>
  </si>
  <si>
    <t>FPGA Unused Pins</t>
  </si>
  <si>
    <t>Power (Negative). Used for op-amps with dual supply or single supply. It can connect to GND if the voltage range includes 0V.</t>
  </si>
  <si>
    <t>XFMR</t>
  </si>
  <si>
    <t>CTAP</t>
  </si>
  <si>
    <t>Differential Bidirectional -ve</t>
  </si>
  <si>
    <t>Differential Bidirectional +ve</t>
  </si>
  <si>
    <t>MOSFET Drain</t>
  </si>
  <si>
    <t>MOSFET Gate</t>
  </si>
  <si>
    <t>MOSFET Source</t>
  </si>
  <si>
    <t>Transformer Tap (Turns Ratio)</t>
  </si>
  <si>
    <t>Transformer Center Tap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</si>
</sst>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3" borderId="0" xfId="0" applyFont="1" applyFill="1"/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2" fillId="3" borderId="0" xfId="0" applyFont="1" applyFill="1"/>
    <xf numFmtId="0" fontId="1" fillId="0" borderId="1" xfId="0" applyFont="1" applyBorder="1" applyAlignment="1">
      <alignment horizontal="center"/>
    </xf>
    <xf numFmtId="0" fontId="3" fillId="3" borderId="0" xfId="0" applyFont="1" applyFill="1"/>
    <xf numFmtId="0" fontId="2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1" xfId="0" applyFont="1" applyFill="1" applyBorder="1"/>
    <xf numFmtId="0" fontId="2" fillId="0" borderId="1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right" vertical="top"/>
    </xf>
    <xf numFmtId="0" fontId="1" fillId="2" borderId="0" xfId="0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2" fillId="2" borderId="13" xfId="0" applyFont="1" applyFill="1" applyBorder="1"/>
    <xf numFmtId="0" fontId="2" fillId="9" borderId="12" xfId="0" applyFont="1" applyFill="1" applyBorder="1"/>
    <xf numFmtId="0" fontId="2" fillId="9" borderId="13" xfId="0" applyFont="1" applyFill="1" applyBorder="1"/>
    <xf numFmtId="0" fontId="2" fillId="10" borderId="1" xfId="0" applyFont="1" applyFill="1" applyBorder="1"/>
    <xf numFmtId="0" fontId="2" fillId="7" borderId="12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49" fontId="1" fillId="0" borderId="0" xfId="0" applyNumberFormat="1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4" xfId="0" applyFont="1" applyFill="1" applyBorder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/>
    <xf numFmtId="0" fontId="7" fillId="0" borderId="0" xfId="0" applyFont="1"/>
    <xf numFmtId="0" fontId="6" fillId="6" borderId="1" xfId="0" applyFont="1" applyFill="1" applyBorder="1" applyProtection="1">
      <protection locked="0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0" fontId="8" fillId="8" borderId="1" xfId="0" applyFont="1" applyFill="1" applyBorder="1" applyProtection="1">
      <protection locked="0"/>
    </xf>
    <xf numFmtId="0" fontId="8" fillId="0" borderId="0" xfId="0" applyFont="1" applyProtection="1">
      <protection locked="0"/>
    </xf>
    <xf numFmtId="0" fontId="8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vertical="center" wrapText="1"/>
    </xf>
    <xf numFmtId="0" fontId="7" fillId="0" borderId="0" xfId="0" applyFont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0" borderId="9" xfId="0" applyFont="1" applyBorder="1" applyProtection="1">
      <protection locked="0"/>
    </xf>
    <xf numFmtId="0" fontId="2" fillId="0" borderId="11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7" borderId="10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</cellXfs>
  <cellStyles count="1">
    <cellStyle name="Normal" xfId="0" builtinId="0"/>
  </cellStyles>
  <dxfs count="3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47"/>
  <sheetViews>
    <sheetView tabSelected="1" zoomScale="80" zoomScaleNormal="80" workbookViewId="0">
      <selection activeCell="A28" sqref="A28:B28"/>
    </sheetView>
  </sheetViews>
  <sheetFormatPr defaultColWidth="9.140625" defaultRowHeight="14.25" x14ac:dyDescent="0.2"/>
  <cols>
    <col min="1" max="1" width="15" style="29" customWidth="1"/>
    <col min="2" max="2" width="14.28515625" style="11" customWidth="1"/>
    <col min="3" max="3" width="13.42578125" style="11" customWidth="1"/>
    <col min="4" max="4" width="10.7109375" style="11" customWidth="1"/>
    <col min="5" max="5" width="11.42578125" style="11" customWidth="1"/>
    <col min="6" max="6" width="12.42578125" style="11" customWidth="1"/>
    <col min="7" max="7" width="9.7109375" style="11" customWidth="1"/>
    <col min="8" max="8" width="9.140625" style="28"/>
    <col min="9" max="9" width="9.140625" style="11"/>
    <col min="10" max="10" width="12.5703125" style="11" customWidth="1"/>
    <col min="11" max="11" width="11.7109375" style="11" customWidth="1"/>
    <col min="12" max="13" width="9.140625" style="11"/>
    <col min="14" max="14" width="11.140625" style="11" customWidth="1"/>
    <col min="15" max="15" width="10.7109375" style="11" customWidth="1"/>
    <col min="16" max="20" width="9.140625" style="11"/>
    <col min="21" max="21" width="64.7109375" style="11" customWidth="1"/>
    <col min="22" max="22" width="8.7109375" style="32" customWidth="1"/>
    <col min="23" max="23" width="8.7109375" style="30" customWidth="1"/>
    <col min="24" max="27" width="8.7109375" style="1" customWidth="1"/>
    <col min="28" max="16384" width="9.140625" style="2"/>
  </cols>
  <sheetData>
    <row r="1" spans="1:32" ht="15" x14ac:dyDescent="0.25">
      <c r="A1" s="4" t="s">
        <v>0</v>
      </c>
      <c r="B1" s="5">
        <v>12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30"/>
      <c r="AD1" s="12"/>
      <c r="AE1" s="12"/>
      <c r="AF1" s="12"/>
    </row>
    <row r="2" spans="1:32" s="12" customFormat="1" ht="15" hidden="1" x14ac:dyDescent="0.25">
      <c r="A2" s="4" t="s">
        <v>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31"/>
      <c r="W2" s="33" t="s">
        <v>122</v>
      </c>
      <c r="X2" s="1"/>
      <c r="Y2" s="1"/>
      <c r="Z2" s="1"/>
      <c r="AA2" s="1"/>
    </row>
    <row r="3" spans="1:32" s="12" customFormat="1" ht="15" hidden="1" x14ac:dyDescent="0.25">
      <c r="A3" s="4" t="s">
        <v>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31"/>
      <c r="W3" s="33" t="s">
        <v>123</v>
      </c>
      <c r="X3" s="1"/>
      <c r="Y3" s="1"/>
      <c r="Z3" s="1"/>
      <c r="AA3" s="1"/>
    </row>
    <row r="4" spans="1:32" s="12" customFormat="1" ht="15" hidden="1" x14ac:dyDescent="0.25">
      <c r="A4" s="4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31"/>
      <c r="W4" s="31"/>
      <c r="X4" s="1"/>
      <c r="Y4" s="1"/>
      <c r="Z4" s="1"/>
      <c r="AA4" s="1"/>
    </row>
    <row r="5" spans="1:32" s="12" customFormat="1" ht="15" hidden="1" x14ac:dyDescent="0.25">
      <c r="A5" s="4" t="s">
        <v>4</v>
      </c>
      <c r="B5" s="22" t="s">
        <v>11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5"/>
      <c r="U5" s="1"/>
      <c r="V5" s="31"/>
      <c r="W5" s="31"/>
      <c r="X5" s="1"/>
      <c r="Y5" s="1"/>
      <c r="Z5" s="1"/>
      <c r="AA5" s="1"/>
    </row>
    <row r="6" spans="1:32" s="12" customFormat="1" ht="15" hidden="1" x14ac:dyDescent="0.25">
      <c r="A6" s="4" t="s">
        <v>4</v>
      </c>
      <c r="B6" s="16">
        <v>1</v>
      </c>
      <c r="C6" s="17" t="s">
        <v>162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8"/>
      <c r="U6" s="1"/>
      <c r="V6" s="31"/>
      <c r="W6" s="31"/>
      <c r="X6" s="1"/>
      <c r="Y6" s="1"/>
      <c r="Z6" s="1"/>
      <c r="AA6" s="1"/>
    </row>
    <row r="7" spans="1:32" s="12" customFormat="1" ht="15" hidden="1" x14ac:dyDescent="0.25">
      <c r="A7" s="4" t="s">
        <v>4</v>
      </c>
      <c r="B7" s="16">
        <v>2</v>
      </c>
      <c r="C7" s="17" t="s">
        <v>16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8"/>
      <c r="U7" s="1"/>
      <c r="V7" s="31"/>
      <c r="W7" s="31"/>
      <c r="X7" s="1"/>
      <c r="Y7" s="1"/>
      <c r="Z7" s="1"/>
      <c r="AA7" s="1"/>
    </row>
    <row r="8" spans="1:32" s="12" customFormat="1" ht="15" hidden="1" x14ac:dyDescent="0.25">
      <c r="A8" s="4" t="s">
        <v>4</v>
      </c>
      <c r="B8" s="16">
        <v>3</v>
      </c>
      <c r="C8" s="17" t="s">
        <v>19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8"/>
      <c r="U8" s="1"/>
      <c r="V8" s="31"/>
      <c r="W8" s="31"/>
      <c r="X8" s="1"/>
      <c r="Y8" s="1"/>
      <c r="Z8" s="1"/>
      <c r="AA8" s="1"/>
    </row>
    <row r="9" spans="1:32" s="12" customFormat="1" ht="15" hidden="1" x14ac:dyDescent="0.25">
      <c r="A9" s="4" t="s">
        <v>4</v>
      </c>
      <c r="B9" s="16">
        <v>4</v>
      </c>
      <c r="C9" s="17" t="s">
        <v>21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8"/>
      <c r="U9" s="1"/>
      <c r="V9" s="31"/>
      <c r="W9" s="31"/>
      <c r="X9" s="1"/>
      <c r="Y9" s="1"/>
      <c r="Z9" s="1"/>
      <c r="AA9" s="1"/>
    </row>
    <row r="10" spans="1:32" s="12" customFormat="1" ht="15" hidden="1" x14ac:dyDescent="0.25">
      <c r="A10" s="4" t="s">
        <v>4</v>
      </c>
      <c r="B10" s="16">
        <v>5</v>
      </c>
      <c r="C10" s="17" t="s">
        <v>24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8"/>
      <c r="U10" s="1"/>
      <c r="V10" s="31"/>
      <c r="W10" s="31"/>
      <c r="X10" s="1"/>
      <c r="Y10" s="1"/>
      <c r="Z10" s="1"/>
      <c r="AA10" s="1"/>
    </row>
    <row r="11" spans="1:32" s="12" customFormat="1" ht="15" hidden="1" x14ac:dyDescent="0.25">
      <c r="A11" s="4" t="s">
        <v>4</v>
      </c>
      <c r="B11" s="16">
        <v>6</v>
      </c>
      <c r="C11" s="17" t="s">
        <v>163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8"/>
      <c r="U11" s="1"/>
      <c r="V11" s="31"/>
      <c r="W11" s="31"/>
      <c r="X11" s="1"/>
      <c r="Y11" s="1"/>
      <c r="Z11" s="1"/>
      <c r="AA11" s="1"/>
    </row>
    <row r="12" spans="1:32" s="12" customFormat="1" ht="15" hidden="1" x14ac:dyDescent="0.25">
      <c r="A12" s="4" t="s">
        <v>4</v>
      </c>
      <c r="B12" s="16">
        <v>7</v>
      </c>
      <c r="C12" s="17" t="s">
        <v>28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8"/>
      <c r="U12" s="1"/>
      <c r="V12" s="31"/>
      <c r="W12" s="31"/>
      <c r="X12" s="1"/>
      <c r="Y12" s="1"/>
      <c r="Z12" s="1"/>
      <c r="AA12" s="1"/>
    </row>
    <row r="13" spans="1:32" s="12" customFormat="1" ht="15" hidden="1" x14ac:dyDescent="0.25">
      <c r="A13" s="4" t="s">
        <v>4</v>
      </c>
      <c r="B13" s="16">
        <v>8</v>
      </c>
      <c r="C13" s="17" t="s">
        <v>30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8"/>
      <c r="U13" s="1"/>
      <c r="V13" s="31"/>
      <c r="W13" s="31"/>
      <c r="X13" s="1"/>
      <c r="Y13" s="1"/>
      <c r="Z13" s="1"/>
      <c r="AA13" s="1"/>
    </row>
    <row r="14" spans="1:32" s="12" customFormat="1" ht="15" hidden="1" x14ac:dyDescent="0.25">
      <c r="A14" s="4" t="s">
        <v>4</v>
      </c>
      <c r="B14" s="16">
        <v>9</v>
      </c>
      <c r="C14" s="17" t="s">
        <v>33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8"/>
      <c r="U14" s="1"/>
      <c r="V14" s="31"/>
      <c r="W14" s="31"/>
      <c r="X14" s="1"/>
      <c r="Y14" s="1"/>
      <c r="Z14" s="1"/>
      <c r="AA14" s="1"/>
    </row>
    <row r="15" spans="1:32" s="12" customFormat="1" ht="15" hidden="1" x14ac:dyDescent="0.25">
      <c r="A15" s="4" t="s">
        <v>4</v>
      </c>
      <c r="B15" s="16">
        <v>10</v>
      </c>
      <c r="C15" s="17" t="s">
        <v>36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8"/>
      <c r="U15" s="1"/>
      <c r="V15" s="31"/>
      <c r="W15" s="31"/>
      <c r="X15" s="1"/>
      <c r="Y15" s="1"/>
      <c r="Z15" s="1"/>
      <c r="AA15" s="1"/>
    </row>
    <row r="16" spans="1:32" s="12" customFormat="1" ht="15" hidden="1" x14ac:dyDescent="0.25">
      <c r="A16" s="4" t="s">
        <v>4</v>
      </c>
      <c r="B16" s="16">
        <v>11</v>
      </c>
      <c r="C16" s="17" t="s">
        <v>39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8"/>
      <c r="U16" s="1"/>
      <c r="V16" s="31"/>
      <c r="W16" s="31"/>
      <c r="X16" s="1"/>
      <c r="Y16" s="1"/>
      <c r="Z16" s="1"/>
      <c r="AA16" s="1"/>
    </row>
    <row r="17" spans="1:27" s="12" customFormat="1" ht="15" hidden="1" x14ac:dyDescent="0.25">
      <c r="A17" s="4" t="s">
        <v>4</v>
      </c>
      <c r="B17" s="19"/>
      <c r="C17" s="20" t="s">
        <v>42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1"/>
      <c r="U17" s="1"/>
      <c r="V17" s="31"/>
      <c r="W17" s="31"/>
      <c r="X17" s="1"/>
      <c r="Y17" s="1"/>
      <c r="Z17" s="1"/>
      <c r="AA17" s="1"/>
    </row>
    <row r="18" spans="1:27" s="12" customFormat="1" ht="15" hidden="1" x14ac:dyDescent="0.25">
      <c r="A18" s="4" t="s">
        <v>4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31"/>
      <c r="W18" s="31"/>
      <c r="X18" s="1"/>
      <c r="Y18" s="1"/>
      <c r="Z18" s="1"/>
      <c r="AA18" s="1"/>
    </row>
    <row r="19" spans="1:27" s="12" customFormat="1" ht="15" hidden="1" x14ac:dyDescent="0.25">
      <c r="A19" s="4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31"/>
      <c r="W19" s="31"/>
      <c r="X19" s="1"/>
      <c r="Y19" s="1"/>
      <c r="Z19" s="1"/>
      <c r="AA19" s="1"/>
    </row>
    <row r="20" spans="1:27" s="12" customFormat="1" ht="15" hidden="1" x14ac:dyDescent="0.25">
      <c r="A20" s="4" t="s">
        <v>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31"/>
      <c r="W20" s="31"/>
      <c r="X20" s="1"/>
      <c r="Y20" s="1"/>
      <c r="Z20" s="1"/>
      <c r="AA20" s="1"/>
    </row>
    <row r="21" spans="1:27" s="12" customFormat="1" ht="15" hidden="1" x14ac:dyDescent="0.25">
      <c r="A21" s="4" t="s">
        <v>4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31"/>
      <c r="W21" s="31"/>
      <c r="X21" s="1"/>
      <c r="Y21" s="1"/>
      <c r="Z21" s="1"/>
      <c r="AA21" s="1"/>
    </row>
    <row r="22" spans="1:27" s="12" customFormat="1" ht="15" hidden="1" x14ac:dyDescent="0.25">
      <c r="A22" s="4" t="s">
        <v>4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1"/>
      <c r="W22" s="31"/>
      <c r="X22" s="1"/>
      <c r="Y22" s="1"/>
      <c r="Z22" s="1"/>
      <c r="AA22" s="1"/>
    </row>
    <row r="23" spans="1:27" s="12" customFormat="1" ht="15" hidden="1" x14ac:dyDescent="0.25">
      <c r="A23" s="4" t="s">
        <v>4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31"/>
      <c r="W23" s="31"/>
      <c r="X23" s="1"/>
      <c r="Y23" s="1"/>
      <c r="Z23" s="1"/>
      <c r="AA23" s="1"/>
    </row>
    <row r="24" spans="1:27" s="12" customFormat="1" ht="15" hidden="1" x14ac:dyDescent="0.25">
      <c r="A24" s="4" t="s">
        <v>4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31"/>
      <c r="W24" s="31"/>
      <c r="X24" s="1"/>
      <c r="Y24" s="1"/>
      <c r="Z24" s="1"/>
      <c r="AA24" s="1"/>
    </row>
    <row r="25" spans="1:27" ht="15" x14ac:dyDescent="0.25">
      <c r="A25" s="4" t="s">
        <v>53</v>
      </c>
      <c r="B25" s="3"/>
      <c r="C25" s="1"/>
      <c r="D25" s="1"/>
      <c r="E25" s="3"/>
      <c r="F25" s="4" t="s">
        <v>54</v>
      </c>
      <c r="G25" s="1"/>
      <c r="H25" s="1"/>
      <c r="I25" s="1"/>
      <c r="J25" s="5">
        <f>DCOUNTA($B$47:$E$1048576,1,$N$25:$N$26)</f>
        <v>0</v>
      </c>
      <c r="K25" s="4" t="s">
        <v>55</v>
      </c>
      <c r="L25" s="5" t="str">
        <f>IF($J$25&lt;$E$25,$J$25-$E$25,"OK")</f>
        <v>OK</v>
      </c>
      <c r="M25" s="4" t="s">
        <v>56</v>
      </c>
      <c r="N25" s="6" t="s">
        <v>1</v>
      </c>
      <c r="O25" s="1"/>
      <c r="P25" s="1"/>
      <c r="Q25" s="1"/>
      <c r="R25" s="1"/>
      <c r="S25" s="1"/>
      <c r="T25" s="1"/>
      <c r="U25" s="1"/>
      <c r="V25" s="30"/>
    </row>
    <row r="26" spans="1:27" ht="15" x14ac:dyDescent="0.25">
      <c r="A26" s="4" t="s">
        <v>4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" t="s">
        <v>58</v>
      </c>
      <c r="O26" s="1"/>
      <c r="P26" s="1"/>
      <c r="Q26" s="1"/>
      <c r="R26" s="1"/>
      <c r="S26" s="1"/>
      <c r="T26" s="1"/>
      <c r="U26" s="1"/>
      <c r="V26" s="30"/>
    </row>
    <row r="27" spans="1:27" ht="15" x14ac:dyDescent="0.25">
      <c r="A27" s="4" t="s">
        <v>61</v>
      </c>
      <c r="B27" s="4"/>
      <c r="C27" s="1" t="s">
        <v>62</v>
      </c>
      <c r="D27" s="4"/>
      <c r="E27" s="4"/>
      <c r="F27" s="4"/>
      <c r="G27" s="4"/>
      <c r="H27" s="4"/>
      <c r="I27" s="4"/>
      <c r="J27" s="4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30"/>
    </row>
    <row r="28" spans="1:27" ht="15" x14ac:dyDescent="0.25">
      <c r="A28" s="47"/>
      <c r="B28" s="48"/>
      <c r="C28" s="4"/>
      <c r="D28" s="4"/>
      <c r="E28" s="4"/>
      <c r="F28" s="4"/>
      <c r="G28" s="4"/>
      <c r="H28" s="4"/>
      <c r="I28" s="4"/>
      <c r="J28" s="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30"/>
    </row>
    <row r="29" spans="1:27" ht="15" x14ac:dyDescent="0.25">
      <c r="A29" s="4" t="s">
        <v>65</v>
      </c>
      <c r="B29" s="4"/>
      <c r="C29" s="4"/>
      <c r="D29" s="4"/>
      <c r="E29" s="4"/>
      <c r="F29" s="4"/>
      <c r="G29" s="4"/>
      <c r="H29" s="4"/>
      <c r="I29" s="4"/>
      <c r="J29" s="4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30"/>
    </row>
    <row r="30" spans="1:27" ht="15" x14ac:dyDescent="0.25">
      <c r="A30" s="47"/>
      <c r="B30" s="48"/>
      <c r="C30" s="4"/>
      <c r="D30" s="4"/>
      <c r="E30" s="4"/>
      <c r="F30" s="4"/>
      <c r="G30" s="4"/>
      <c r="H30" s="4"/>
      <c r="I30" s="4"/>
      <c r="J30" s="4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30"/>
    </row>
    <row r="31" spans="1:27" ht="15" x14ac:dyDescent="0.25">
      <c r="A31" s="4" t="s">
        <v>70</v>
      </c>
      <c r="B31" s="4"/>
      <c r="C31" s="4"/>
      <c r="D31" s="4"/>
      <c r="E31" s="4"/>
      <c r="F31" s="4"/>
      <c r="G31" s="4"/>
      <c r="H31" s="4"/>
      <c r="I31" s="4"/>
      <c r="J31" s="4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30"/>
    </row>
    <row r="32" spans="1:27" ht="15" x14ac:dyDescent="0.25">
      <c r="A32" s="47"/>
      <c r="B32" s="49"/>
      <c r="C32" s="49"/>
      <c r="D32" s="49"/>
      <c r="E32" s="49"/>
      <c r="F32" s="49"/>
      <c r="G32" s="49"/>
      <c r="H32" s="49"/>
      <c r="I32" s="49"/>
      <c r="J32" s="48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30"/>
    </row>
    <row r="33" spans="1:22" ht="15" x14ac:dyDescent="0.25">
      <c r="A33" s="4" t="s">
        <v>75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30"/>
    </row>
    <row r="34" spans="1:22" x14ac:dyDescent="0.2">
      <c r="A34" s="5">
        <f>E25</f>
        <v>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30"/>
    </row>
    <row r="35" spans="1:22" ht="15" x14ac:dyDescent="0.25">
      <c r="A35" s="4" t="s">
        <v>79</v>
      </c>
      <c r="B35" s="1"/>
      <c r="C35" s="1"/>
      <c r="D35" s="1"/>
      <c r="E35" s="7" t="s">
        <v>80</v>
      </c>
      <c r="F35" s="8"/>
      <c r="G35" s="8"/>
      <c r="H35" s="8"/>
      <c r="I35" s="8"/>
      <c r="J35" s="7" t="s">
        <v>81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30"/>
    </row>
    <row r="36" spans="1:22" ht="15" x14ac:dyDescent="0.25">
      <c r="A36" s="13"/>
      <c r="B36" s="1"/>
      <c r="C36" s="1"/>
      <c r="D36" s="1"/>
      <c r="E36" s="3"/>
      <c r="F36" s="1"/>
      <c r="G36" s="1"/>
      <c r="H36" s="1"/>
      <c r="I36" s="1"/>
      <c r="J36" s="3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30"/>
    </row>
    <row r="37" spans="1:22" ht="15" x14ac:dyDescent="0.25">
      <c r="A37" s="4" t="s">
        <v>85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30"/>
    </row>
    <row r="38" spans="1:22" ht="15" x14ac:dyDescent="0.25">
      <c r="A38" s="10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30"/>
    </row>
    <row r="39" spans="1:22" ht="15" x14ac:dyDescent="0.25">
      <c r="A39" s="4" t="s">
        <v>90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30"/>
    </row>
    <row r="40" spans="1:22" ht="15" x14ac:dyDescent="0.25">
      <c r="A40" s="10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30"/>
    </row>
    <row r="41" spans="1:22" ht="15" x14ac:dyDescent="0.25">
      <c r="A41" s="4" t="s">
        <v>93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30"/>
    </row>
    <row r="42" spans="1:22" ht="15" x14ac:dyDescent="0.25">
      <c r="A42" s="10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30"/>
    </row>
    <row r="43" spans="1:22" ht="15" x14ac:dyDescent="0.25">
      <c r="A43" s="4" t="s">
        <v>94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30"/>
    </row>
    <row r="44" spans="1:22" ht="15" x14ac:dyDescent="0.25">
      <c r="A44" s="10"/>
      <c r="B44" s="1"/>
      <c r="C44" s="1"/>
      <c r="D44" s="1"/>
      <c r="E44" s="1"/>
      <c r="F44" s="1"/>
      <c r="G44" s="1"/>
      <c r="H44" s="1"/>
      <c r="I44" s="1"/>
      <c r="J44" s="1"/>
      <c r="K44" s="51" t="s">
        <v>157</v>
      </c>
      <c r="L44" s="52"/>
      <c r="M44" s="52"/>
      <c r="N44" s="53"/>
      <c r="O44" s="1"/>
      <c r="P44" s="1"/>
      <c r="Q44" s="1"/>
      <c r="R44" s="1"/>
      <c r="S44" s="1"/>
      <c r="T44" s="1"/>
      <c r="U44" s="1"/>
      <c r="V44" s="30"/>
    </row>
    <row r="45" spans="1:22" ht="15" customHeight="1" x14ac:dyDescent="0.25">
      <c r="A45" s="4" t="s">
        <v>4</v>
      </c>
      <c r="B45" s="1"/>
      <c r="C45" s="1"/>
      <c r="D45" s="1"/>
      <c r="E45" s="1"/>
      <c r="F45" s="1"/>
      <c r="G45" s="1"/>
      <c r="H45" s="1"/>
      <c r="I45" s="1"/>
      <c r="J45" s="1"/>
      <c r="K45" s="23" t="s">
        <v>130</v>
      </c>
      <c r="L45" s="23" t="s">
        <v>175</v>
      </c>
      <c r="M45" s="24" t="s">
        <v>131</v>
      </c>
      <c r="N45" s="23" t="s">
        <v>155</v>
      </c>
      <c r="O45" s="1"/>
      <c r="P45" s="1"/>
      <c r="Q45" s="1"/>
      <c r="R45" s="1"/>
      <c r="S45" s="1"/>
      <c r="T45" s="1"/>
      <c r="U45" s="1"/>
      <c r="V45" s="30"/>
    </row>
    <row r="46" spans="1:22" ht="15" customHeight="1" x14ac:dyDescent="0.25">
      <c r="A46" s="4" t="s">
        <v>4</v>
      </c>
      <c r="B46" s="1"/>
      <c r="C46" s="1"/>
      <c r="D46" s="1"/>
      <c r="E46" s="26" t="s">
        <v>95</v>
      </c>
      <c r="F46" s="1"/>
      <c r="G46" s="45" t="s">
        <v>96</v>
      </c>
      <c r="H46" s="50"/>
      <c r="I46" s="46"/>
      <c r="J46" s="1"/>
      <c r="K46" s="54" t="s">
        <v>156</v>
      </c>
      <c r="L46" s="55"/>
      <c r="M46" s="55"/>
      <c r="N46" s="55"/>
      <c r="O46" s="55"/>
      <c r="P46" s="55"/>
      <c r="Q46" s="55"/>
      <c r="R46" s="56"/>
      <c r="S46" s="45" t="s">
        <v>158</v>
      </c>
      <c r="T46" s="46"/>
      <c r="U46" s="1"/>
      <c r="V46" s="30"/>
    </row>
    <row r="47" spans="1:22" ht="15" x14ac:dyDescent="0.25">
      <c r="A47" s="9" t="s">
        <v>97</v>
      </c>
      <c r="B47" s="9" t="s">
        <v>98</v>
      </c>
      <c r="C47" s="9" t="s">
        <v>99</v>
      </c>
      <c r="D47" s="9" t="s">
        <v>100</v>
      </c>
      <c r="E47" s="9" t="s">
        <v>1</v>
      </c>
      <c r="F47" s="9" t="s">
        <v>101</v>
      </c>
      <c r="G47" s="27" t="s">
        <v>102</v>
      </c>
      <c r="H47" s="27" t="s">
        <v>103</v>
      </c>
      <c r="I47" s="27" t="s">
        <v>104</v>
      </c>
      <c r="J47" s="9" t="s">
        <v>3</v>
      </c>
      <c r="K47" s="25" t="s">
        <v>105</v>
      </c>
      <c r="L47" s="25" t="s">
        <v>106</v>
      </c>
      <c r="M47" s="25" t="s">
        <v>107</v>
      </c>
      <c r="N47" s="25" t="s">
        <v>108</v>
      </c>
      <c r="O47" s="25" t="s">
        <v>109</v>
      </c>
      <c r="P47" s="25" t="s">
        <v>110</v>
      </c>
      <c r="Q47" s="25" t="s">
        <v>111</v>
      </c>
      <c r="R47" s="25" t="s">
        <v>112</v>
      </c>
      <c r="S47" s="9" t="s">
        <v>113</v>
      </c>
      <c r="T47" s="9" t="s">
        <v>114</v>
      </c>
      <c r="U47" s="9" t="s">
        <v>115</v>
      </c>
      <c r="V47" s="30"/>
    </row>
  </sheetData>
  <sheetProtection formatCells="0" formatColumns="0" formatRows="0" insertRows="0" deleteRows="0" sort="0" autoFilter="0" pivotTables="0"/>
  <sortState xmlns:xlrd2="http://schemas.microsoft.com/office/spreadsheetml/2017/richdata2" ref="A48:U63">
    <sortCondition ref="E48:E63"/>
    <sortCondition ref="B48:B63"/>
  </sortState>
  <mergeCells count="7">
    <mergeCell ref="S46:T46"/>
    <mergeCell ref="A30:B30"/>
    <mergeCell ref="A28:B28"/>
    <mergeCell ref="A32:J32"/>
    <mergeCell ref="G46:I46"/>
    <mergeCell ref="K44:N44"/>
    <mergeCell ref="K46:R46"/>
  </mergeCells>
  <conditionalFormatting sqref="A48:A1048576">
    <cfRule type="duplicateValues" dxfId="30" priority="198" stopIfTrue="1"/>
  </conditionalFormatting>
  <conditionalFormatting sqref="B25 A36 A38 A40">
    <cfRule type="containsBlanks" dxfId="29" priority="174" stopIfTrue="1">
      <formula>LEN(TRIM(A25))=0</formula>
    </cfRule>
  </conditionalFormatting>
  <conditionalFormatting sqref="B48:B1048576 E48:E1048576">
    <cfRule type="expression" dxfId="28" priority="199" stopIfTrue="1">
      <formula>NOT(ISBLANK($A48))</formula>
    </cfRule>
  </conditionalFormatting>
  <conditionalFormatting sqref="B48:B1048576">
    <cfRule type="duplicateValues" dxfId="27" priority="195" stopIfTrue="1"/>
    <cfRule type="expression" priority="170" stopIfTrue="1">
      <formula>OR($E48="GND",$E48="GNDOUT",$E48="PWR",$E48="PWRN",$E48="PWROUT",$E48="NC")</formula>
    </cfRule>
    <cfRule type="notContainsBlanks" priority="197" stopIfTrue="1">
      <formula>LEN(TRIM(B48))&gt;0</formula>
    </cfRule>
  </conditionalFormatting>
  <conditionalFormatting sqref="E25 A28:B28 A30:B30 A32:J32 E36 J36">
    <cfRule type="containsBlanks" dxfId="26" priority="207" stopIfTrue="1">
      <formula>LEN(TRIM(A25))=0</formula>
    </cfRule>
  </conditionalFormatting>
  <conditionalFormatting sqref="E48:F1048576">
    <cfRule type="notContainsBlanks" dxfId="25" priority="190" stopIfTrue="1">
      <formula>LEN(TRIM(E48))&gt;0</formula>
    </cfRule>
  </conditionalFormatting>
  <conditionalFormatting sqref="F48:F1048576">
    <cfRule type="expression" dxfId="24" priority="193" stopIfTrue="1">
      <formula>VLOOKUP($E48,TypeTable,4,FALSE)="Y"</formula>
    </cfRule>
  </conditionalFormatting>
  <conditionalFormatting sqref="K48:K1048576">
    <cfRule type="expression" dxfId="23" priority="189">
      <formula>ISNUMBER(FIND("1",VLOOKUP($E48,TypeTable,3,FALSE)))</formula>
    </cfRule>
  </conditionalFormatting>
  <conditionalFormatting sqref="K48:M1048576">
    <cfRule type="expression" dxfId="22" priority="161" stopIfTrue="1">
      <formula>IF(ISNUMBER(FIND("P",VLOOKUP($E48,TypeTable,3,FALSE))),ISTEXT(K48),FALSE)</formula>
    </cfRule>
  </conditionalFormatting>
  <conditionalFormatting sqref="K48:N1048576">
    <cfRule type="expression" dxfId="21" priority="159" stopIfTrue="1">
      <formula>NOT(ISERROR(VLOOKUP(TRIM(LEFT(K48,SEARCH(" ",K48)-1)),PinNames,1,0) ))</formula>
    </cfRule>
  </conditionalFormatting>
  <conditionalFormatting sqref="K48:R1048576">
    <cfRule type="expression" dxfId="20" priority="156" stopIfTrue="1">
      <formula>NOT(ISERROR(VLOOKUP(K48,PinNames,1,0)))</formula>
    </cfRule>
    <cfRule type="expression" dxfId="19" priority="154" stopIfTrue="1">
      <formula>ISNUMBER(K48)</formula>
    </cfRule>
  </conditionalFormatting>
  <conditionalFormatting sqref="L25">
    <cfRule type="expression" dxfId="18" priority="168">
      <formula>$J$25&lt;$E$25</formula>
    </cfRule>
  </conditionalFormatting>
  <conditionalFormatting sqref="L48:L1048576">
    <cfRule type="expression" dxfId="17" priority="188">
      <formula>ISNUMBER(FIND("2",VLOOKUP($E48,TypeTable,3,FALSE)))</formula>
    </cfRule>
  </conditionalFormatting>
  <conditionalFormatting sqref="L48:N1048576">
    <cfRule type="expression" dxfId="16" priority="169" stopIfTrue="1">
      <formula>ISTEXT(VLOOKUP(LEFT(L48,SEARCH(" ",L48,1)-1),PinNames,1,FALSE))</formula>
    </cfRule>
  </conditionalFormatting>
  <conditionalFormatting sqref="M48:M1048576">
    <cfRule type="expression" dxfId="15" priority="187">
      <formula>ISNUMBER(FIND("3",VLOOKUP($E48,TypeTable,3,FALSE)))</formula>
    </cfRule>
  </conditionalFormatting>
  <conditionalFormatting sqref="N48:N1048576">
    <cfRule type="expression" dxfId="14" priority="164" stopIfTrue="1">
      <formula>OR($N48 = INDIRECT(VLOOKUP($E48,TypeTable,2,0)))</formula>
    </cfRule>
    <cfRule type="expression" dxfId="13" priority="186">
      <formula>ISNUMBER(FIND("4",VLOOKUP($E48,TypeTable,3,FALSE)))</formula>
    </cfRule>
  </conditionalFormatting>
  <conditionalFormatting sqref="O48:O1048576">
    <cfRule type="expression" dxfId="12" priority="185">
      <formula>ISNUMBER(FIND("5",VLOOKUP($E48,TypeTable,3,FALSE)))</formula>
    </cfRule>
  </conditionalFormatting>
  <conditionalFormatting sqref="O48:R1048576">
    <cfRule type="expression" dxfId="11" priority="157" stopIfTrue="1">
      <formula>NOT(ISERROR(VLOOKUP(TRIM(LEFT(O48,SEARCH(" ",O48)-1)),PinNames,1,0) ))</formula>
    </cfRule>
  </conditionalFormatting>
  <conditionalFormatting sqref="P48:P1048576">
    <cfRule type="expression" dxfId="10" priority="184">
      <formula>ISNUMBER(FIND("6",VLOOKUP($E48,TypeTable,3,FALSE)))</formula>
    </cfRule>
  </conditionalFormatting>
  <conditionalFormatting sqref="Q48:Q1048576">
    <cfRule type="expression" dxfId="9" priority="183">
      <formula>ISNUMBER(FIND("7",VLOOKUP($E48,TypeTable,3,FALSE)))</formula>
    </cfRule>
  </conditionalFormatting>
  <conditionalFormatting sqref="R48:R1048576">
    <cfRule type="expression" dxfId="8" priority="182">
      <formula>ISNUMBER(FIND("8",VLOOKUP($E48,TypeTable,3,FALSE)))</formula>
    </cfRule>
  </conditionalFormatting>
  <conditionalFormatting sqref="S48:S1048576">
    <cfRule type="expression" dxfId="7" priority="179">
      <formula>OR(ISNUMBER(FIND("1",VLOOKUP($E48,TypeTable,3,FALSE))),ISNUMBER(FIND("5",VLOOKUP($E48, TypeTable,3,FALSE))))</formula>
    </cfRule>
    <cfRule type="expression" dxfId="6" priority="180" stopIfTrue="1">
      <formula>VLOOKUP($E48,TypeTable,3,FALSE)="G"</formula>
    </cfRule>
  </conditionalFormatting>
  <conditionalFormatting sqref="S48:T1048576">
    <cfRule type="expression" dxfId="5" priority="181" stopIfTrue="1">
      <formula>VLOOKUP($E48,TypeTable,3,FALSE)="P"</formula>
    </cfRule>
    <cfRule type="expression" dxfId="4" priority="178" stopIfTrue="1">
      <formula>AND(NOT(ISBLANK(S48)),ISNA(VLOOKUP(S48, PinNames,1,0)=S48))</formula>
    </cfRule>
    <cfRule type="expression" dxfId="3" priority="176" stopIfTrue="1">
      <formula>ISTEXT(VLOOKUP(LEFT(S48,SEARCH(" ",S48,1)-1),PinNames,1,FALSE))</formula>
    </cfRule>
    <cfRule type="expression" dxfId="2" priority="175" stopIfTrue="1">
      <formula>NOT(ISNA(VLOOKUP(S48,PinNames,1,0)=S48))</formula>
    </cfRule>
    <cfRule type="expression" dxfId="1" priority="173" stopIfTrue="1">
      <formula>ISNUMBER(S48)</formula>
    </cfRule>
  </conditionalFormatting>
  <conditionalFormatting sqref="T48:T1048576">
    <cfRule type="expression" dxfId="0" priority="171" stopIfTrue="1">
      <formula>VLOOKUP(U48,$X$2:$Z$46,3,FALSE)="P"</formula>
    </cfRule>
  </conditionalFormatting>
  <dataValidations count="3">
    <dataValidation type="list" allowBlank="1" showInputMessage="1" showErrorMessage="1" sqref="E48:E65536" xr:uid="{00000000-0002-0000-0000-000000000000}">
      <formula1>Picklist</formula1>
    </dataValidation>
    <dataValidation type="list" allowBlank="1" showInputMessage="1" showErrorMessage="1" sqref="E36 J36" xr:uid="{00000000-0002-0000-0000-000001000000}">
      <formula1>$W$2:$W$3</formula1>
    </dataValidation>
    <dataValidation type="list" allowBlank="1" sqref="N48:N65536" xr:uid="{00000000-0002-0000-0000-000002000000}">
      <formula1>INDIRECT(VLOOKUP($E48,TypeTable,2,0))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55"/>
  <sheetViews>
    <sheetView zoomScaleNormal="100" workbookViewId="0"/>
  </sheetViews>
  <sheetFormatPr defaultColWidth="9.140625" defaultRowHeight="12.75" x14ac:dyDescent="0.2"/>
  <cols>
    <col min="1" max="1" width="11.7109375" style="44" customWidth="1"/>
    <col min="2" max="2" width="58.28515625" style="36" customWidth="1"/>
    <col min="3" max="3" width="13.7109375" style="44" customWidth="1"/>
    <col min="4" max="4" width="9.140625" style="44"/>
    <col min="5" max="5" width="9.140625" style="36"/>
    <col min="6" max="6" width="12.7109375" style="36" customWidth="1"/>
    <col min="7" max="7" width="10.85546875" style="36" customWidth="1"/>
    <col min="8" max="16384" width="9.140625" style="36"/>
  </cols>
  <sheetData>
    <row r="1" spans="1:8" x14ac:dyDescent="0.2">
      <c r="A1" s="34" t="s">
        <v>1</v>
      </c>
      <c r="B1" s="35" t="s">
        <v>2</v>
      </c>
      <c r="C1" s="34" t="s">
        <v>120</v>
      </c>
      <c r="D1" s="34" t="s">
        <v>121</v>
      </c>
      <c r="F1" s="37" t="s">
        <v>87</v>
      </c>
      <c r="G1" s="37" t="s">
        <v>132</v>
      </c>
      <c r="H1" s="37" t="s">
        <v>89</v>
      </c>
    </row>
    <row r="2" spans="1:8" x14ac:dyDescent="0.2">
      <c r="A2" s="38" t="s">
        <v>5</v>
      </c>
      <c r="B2" s="39" t="s">
        <v>6</v>
      </c>
      <c r="C2" s="38">
        <v>12345678</v>
      </c>
      <c r="D2" s="38" t="s">
        <v>119</v>
      </c>
      <c r="F2" s="40" t="s">
        <v>133</v>
      </c>
      <c r="G2" s="40" t="s">
        <v>134</v>
      </c>
      <c r="H2" s="40" t="s">
        <v>135</v>
      </c>
    </row>
    <row r="3" spans="1:8" x14ac:dyDescent="0.2">
      <c r="A3" s="38" t="s">
        <v>7</v>
      </c>
      <c r="B3" s="39" t="s">
        <v>8</v>
      </c>
      <c r="C3" s="38">
        <v>1234</v>
      </c>
      <c r="D3" s="38" t="s">
        <v>119</v>
      </c>
      <c r="F3" s="40" t="s">
        <v>136</v>
      </c>
      <c r="G3" s="40" t="s">
        <v>137</v>
      </c>
      <c r="H3" s="40" t="s">
        <v>138</v>
      </c>
    </row>
    <row r="4" spans="1:8" x14ac:dyDescent="0.2">
      <c r="A4" s="38" t="s">
        <v>9</v>
      </c>
      <c r="B4" s="39" t="s">
        <v>10</v>
      </c>
      <c r="C4" s="38">
        <v>5678</v>
      </c>
      <c r="D4" s="38" t="s">
        <v>119</v>
      </c>
      <c r="F4" s="40" t="s">
        <v>139</v>
      </c>
      <c r="G4" s="40" t="s">
        <v>140</v>
      </c>
      <c r="H4" s="41"/>
    </row>
    <row r="5" spans="1:8" x14ac:dyDescent="0.2">
      <c r="A5" s="38" t="s">
        <v>12</v>
      </c>
      <c r="B5" s="39" t="s">
        <v>13</v>
      </c>
      <c r="C5" s="38">
        <v>14</v>
      </c>
      <c r="D5" s="38"/>
      <c r="F5" s="40" t="s">
        <v>141</v>
      </c>
      <c r="G5" s="40" t="s">
        <v>142</v>
      </c>
      <c r="H5" s="41"/>
    </row>
    <row r="6" spans="1:8" x14ac:dyDescent="0.2">
      <c r="A6" s="38" t="s">
        <v>129</v>
      </c>
      <c r="B6" s="39" t="s">
        <v>127</v>
      </c>
      <c r="C6" s="38">
        <v>14</v>
      </c>
      <c r="D6" s="38" t="s">
        <v>119</v>
      </c>
      <c r="F6" s="40" t="s">
        <v>143</v>
      </c>
      <c r="G6" s="40" t="s">
        <v>144</v>
      </c>
      <c r="H6" s="41"/>
    </row>
    <row r="7" spans="1:8" x14ac:dyDescent="0.2">
      <c r="A7" s="38" t="s">
        <v>128</v>
      </c>
      <c r="B7" s="39" t="s">
        <v>126</v>
      </c>
      <c r="C7" s="38">
        <v>14</v>
      </c>
      <c r="D7" s="38" t="s">
        <v>119</v>
      </c>
      <c r="F7" s="40" t="s">
        <v>145</v>
      </c>
      <c r="G7" s="40" t="s">
        <v>146</v>
      </c>
      <c r="H7" s="41"/>
    </row>
    <row r="8" spans="1:8" x14ac:dyDescent="0.2">
      <c r="A8" s="38" t="s">
        <v>14</v>
      </c>
      <c r="B8" s="39" t="s">
        <v>15</v>
      </c>
      <c r="C8" s="38">
        <v>1458</v>
      </c>
      <c r="D8" s="38"/>
      <c r="F8" s="41"/>
      <c r="G8" s="40" t="s">
        <v>147</v>
      </c>
      <c r="H8" s="41"/>
    </row>
    <row r="9" spans="1:8" x14ac:dyDescent="0.2">
      <c r="A9" s="38" t="s">
        <v>17</v>
      </c>
      <c r="B9" s="39" t="s">
        <v>18</v>
      </c>
      <c r="C9" s="38">
        <v>58</v>
      </c>
      <c r="D9" s="38"/>
    </row>
    <row r="10" spans="1:8" x14ac:dyDescent="0.2">
      <c r="A10" s="38" t="s">
        <v>43</v>
      </c>
      <c r="B10" s="39" t="s">
        <v>44</v>
      </c>
      <c r="C10" s="38">
        <v>12345678</v>
      </c>
      <c r="D10" s="38"/>
    </row>
    <row r="11" spans="1:8" x14ac:dyDescent="0.2">
      <c r="A11" s="38" t="s">
        <v>173</v>
      </c>
      <c r="B11" s="39" t="s">
        <v>174</v>
      </c>
      <c r="C11" s="38">
        <v>1234</v>
      </c>
      <c r="D11" s="38" t="s">
        <v>119</v>
      </c>
    </row>
    <row r="12" spans="1:8" x14ac:dyDescent="0.2">
      <c r="A12" s="38" t="s">
        <v>169</v>
      </c>
      <c r="B12" s="39" t="s">
        <v>170</v>
      </c>
      <c r="C12" s="38">
        <v>1</v>
      </c>
      <c r="D12" s="38" t="s">
        <v>119</v>
      </c>
    </row>
    <row r="13" spans="1:8" x14ac:dyDescent="0.2">
      <c r="A13" s="38" t="s">
        <v>171</v>
      </c>
      <c r="B13" s="39" t="s">
        <v>172</v>
      </c>
      <c r="C13" s="38" t="s">
        <v>116</v>
      </c>
      <c r="D13" s="38"/>
    </row>
    <row r="14" spans="1:8" x14ac:dyDescent="0.2">
      <c r="A14" s="38" t="s">
        <v>148</v>
      </c>
      <c r="B14" s="39" t="s">
        <v>132</v>
      </c>
      <c r="C14" s="38" t="s">
        <v>160</v>
      </c>
      <c r="D14" s="38" t="s">
        <v>119</v>
      </c>
    </row>
    <row r="15" spans="1:8" x14ac:dyDescent="0.2">
      <c r="A15" s="38" t="s">
        <v>168</v>
      </c>
      <c r="B15" s="39" t="s">
        <v>132</v>
      </c>
      <c r="C15" s="38" t="s">
        <v>160</v>
      </c>
      <c r="D15" s="38" t="s">
        <v>119</v>
      </c>
    </row>
    <row r="16" spans="1:8" x14ac:dyDescent="0.2">
      <c r="A16" s="38" t="s">
        <v>167</v>
      </c>
      <c r="B16" s="39" t="s">
        <v>132</v>
      </c>
      <c r="C16" s="38" t="s">
        <v>160</v>
      </c>
      <c r="D16" s="38" t="s">
        <v>119</v>
      </c>
    </row>
    <row r="17" spans="1:4" x14ac:dyDescent="0.2">
      <c r="A17" s="38" t="s">
        <v>86</v>
      </c>
      <c r="B17" s="39" t="s">
        <v>87</v>
      </c>
      <c r="C17" s="38" t="s">
        <v>160</v>
      </c>
      <c r="D17" s="38" t="s">
        <v>119</v>
      </c>
    </row>
    <row r="18" spans="1:4" x14ac:dyDescent="0.2">
      <c r="A18" s="38" t="s">
        <v>165</v>
      </c>
      <c r="B18" s="39" t="s">
        <v>87</v>
      </c>
      <c r="C18" s="38" t="s">
        <v>160</v>
      </c>
      <c r="D18" s="38" t="s">
        <v>119</v>
      </c>
    </row>
    <row r="19" spans="1:4" x14ac:dyDescent="0.2">
      <c r="A19" s="38" t="s">
        <v>166</v>
      </c>
      <c r="B19" s="39" t="s">
        <v>87</v>
      </c>
      <c r="C19" s="38" t="s">
        <v>160</v>
      </c>
      <c r="D19" s="38" t="s">
        <v>119</v>
      </c>
    </row>
    <row r="20" spans="1:4" x14ac:dyDescent="0.2">
      <c r="A20" s="38" t="s">
        <v>20</v>
      </c>
      <c r="B20" s="39" t="s">
        <v>176</v>
      </c>
      <c r="C20" s="38">
        <v>12345678</v>
      </c>
      <c r="D20" s="38" t="s">
        <v>119</v>
      </c>
    </row>
    <row r="21" spans="1:4" x14ac:dyDescent="0.2">
      <c r="A21" s="38" t="s">
        <v>22</v>
      </c>
      <c r="B21" s="39" t="s">
        <v>23</v>
      </c>
      <c r="C21" s="38">
        <v>1234</v>
      </c>
      <c r="D21" s="38" t="s">
        <v>119</v>
      </c>
    </row>
    <row r="22" spans="1:4" x14ac:dyDescent="0.2">
      <c r="A22" s="38" t="s">
        <v>25</v>
      </c>
      <c r="B22" s="39" t="s">
        <v>26</v>
      </c>
      <c r="C22" s="38">
        <v>5678</v>
      </c>
      <c r="D22" s="38" t="s">
        <v>119</v>
      </c>
    </row>
    <row r="23" spans="1:4" x14ac:dyDescent="0.2">
      <c r="A23" s="38" t="s">
        <v>27</v>
      </c>
      <c r="B23" s="39" t="s">
        <v>185</v>
      </c>
      <c r="C23" s="38">
        <v>12345678</v>
      </c>
      <c r="D23" s="38" t="s">
        <v>119</v>
      </c>
    </row>
    <row r="24" spans="1:4" x14ac:dyDescent="0.2">
      <c r="A24" s="38" t="s">
        <v>29</v>
      </c>
      <c r="B24" s="39" t="s">
        <v>186</v>
      </c>
      <c r="C24" s="38">
        <v>12345678</v>
      </c>
      <c r="D24" s="38" t="s">
        <v>119</v>
      </c>
    </row>
    <row r="25" spans="1:4" x14ac:dyDescent="0.2">
      <c r="A25" s="38" t="s">
        <v>31</v>
      </c>
      <c r="B25" s="39" t="s">
        <v>35</v>
      </c>
      <c r="C25" s="38">
        <v>1234</v>
      </c>
      <c r="D25" s="38" t="s">
        <v>119</v>
      </c>
    </row>
    <row r="26" spans="1:4" x14ac:dyDescent="0.2">
      <c r="A26" s="38" t="s">
        <v>34</v>
      </c>
      <c r="B26" s="39" t="s">
        <v>32</v>
      </c>
      <c r="C26" s="38">
        <v>1234</v>
      </c>
      <c r="D26" s="38" t="s">
        <v>119</v>
      </c>
    </row>
    <row r="27" spans="1:4" x14ac:dyDescent="0.2">
      <c r="A27" s="38" t="s">
        <v>37</v>
      </c>
      <c r="B27" s="39" t="s">
        <v>41</v>
      </c>
      <c r="C27" s="38">
        <v>5678</v>
      </c>
      <c r="D27" s="38" t="s">
        <v>119</v>
      </c>
    </row>
    <row r="28" spans="1:4" x14ac:dyDescent="0.2">
      <c r="A28" s="38" t="s">
        <v>40</v>
      </c>
      <c r="B28" s="39" t="s">
        <v>38</v>
      </c>
      <c r="C28" s="38">
        <v>5678</v>
      </c>
      <c r="D28" s="38" t="s">
        <v>119</v>
      </c>
    </row>
    <row r="29" spans="1:4" x14ac:dyDescent="0.2">
      <c r="A29" s="38" t="s">
        <v>73</v>
      </c>
      <c r="B29" s="39" t="s">
        <v>74</v>
      </c>
      <c r="C29" s="38" t="s">
        <v>117</v>
      </c>
      <c r="D29" s="38"/>
    </row>
    <row r="30" spans="1:4" x14ac:dyDescent="0.2">
      <c r="A30" s="38" t="s">
        <v>48</v>
      </c>
      <c r="B30" s="39" t="s">
        <v>187</v>
      </c>
      <c r="C30" s="38">
        <v>1</v>
      </c>
      <c r="D30" s="38" t="s">
        <v>119</v>
      </c>
    </row>
    <row r="31" spans="1:4" x14ac:dyDescent="0.2">
      <c r="A31" s="38" t="s">
        <v>49</v>
      </c>
      <c r="B31" s="39" t="s">
        <v>188</v>
      </c>
      <c r="C31" s="38">
        <v>1234</v>
      </c>
      <c r="D31" s="38" t="s">
        <v>119</v>
      </c>
    </row>
    <row r="32" spans="1:4" x14ac:dyDescent="0.2">
      <c r="A32" s="38" t="s">
        <v>50</v>
      </c>
      <c r="B32" s="39" t="s">
        <v>189</v>
      </c>
      <c r="C32" s="38" t="s">
        <v>116</v>
      </c>
      <c r="D32" s="38"/>
    </row>
    <row r="33" spans="1:4" x14ac:dyDescent="0.2">
      <c r="A33" s="38" t="s">
        <v>149</v>
      </c>
      <c r="B33" s="39" t="s">
        <v>150</v>
      </c>
      <c r="C33" s="38">
        <v>13</v>
      </c>
      <c r="D33" s="38" t="s">
        <v>119</v>
      </c>
    </row>
    <row r="34" spans="1:4" x14ac:dyDescent="0.2">
      <c r="A34" s="38" t="s">
        <v>51</v>
      </c>
      <c r="B34" s="39" t="s">
        <v>177</v>
      </c>
      <c r="C34" s="38">
        <v>1458</v>
      </c>
      <c r="D34" s="38" t="s">
        <v>119</v>
      </c>
    </row>
    <row r="35" spans="1:4" x14ac:dyDescent="0.2">
      <c r="A35" s="38" t="s">
        <v>52</v>
      </c>
      <c r="B35" s="39" t="s">
        <v>179</v>
      </c>
      <c r="C35" s="38">
        <v>1234</v>
      </c>
      <c r="D35" s="38" t="s">
        <v>119</v>
      </c>
    </row>
    <row r="36" spans="1:4" x14ac:dyDescent="0.2">
      <c r="A36" s="38" t="s">
        <v>57</v>
      </c>
      <c r="B36" s="39" t="s">
        <v>180</v>
      </c>
      <c r="C36" s="38">
        <v>12345678</v>
      </c>
      <c r="D36" s="38" t="s">
        <v>119</v>
      </c>
    </row>
    <row r="37" spans="1:4" x14ac:dyDescent="0.2">
      <c r="A37" s="38" t="s">
        <v>76</v>
      </c>
      <c r="B37" s="39" t="s">
        <v>77</v>
      </c>
      <c r="C37" s="38" t="s">
        <v>118</v>
      </c>
      <c r="D37" s="38"/>
    </row>
    <row r="38" spans="1:4" x14ac:dyDescent="0.2">
      <c r="A38" s="38" t="s">
        <v>78</v>
      </c>
      <c r="B38" s="39" t="s">
        <v>178</v>
      </c>
      <c r="C38" s="38" t="s">
        <v>118</v>
      </c>
      <c r="D38" s="38"/>
    </row>
    <row r="39" spans="1:4" x14ac:dyDescent="0.2">
      <c r="A39" s="38" t="s">
        <v>88</v>
      </c>
      <c r="B39" s="39" t="s">
        <v>89</v>
      </c>
      <c r="C39" s="38" t="s">
        <v>160</v>
      </c>
      <c r="D39" s="38" t="s">
        <v>119</v>
      </c>
    </row>
    <row r="40" spans="1:4" x14ac:dyDescent="0.2">
      <c r="A40" s="38" t="s">
        <v>45</v>
      </c>
      <c r="B40" s="39" t="s">
        <v>46</v>
      </c>
      <c r="C40" s="38">
        <v>1234</v>
      </c>
      <c r="D40" s="38"/>
    </row>
    <row r="41" spans="1:4" x14ac:dyDescent="0.2">
      <c r="A41" s="38" t="s">
        <v>124</v>
      </c>
      <c r="B41" s="39" t="s">
        <v>125</v>
      </c>
      <c r="C41" s="38" t="s">
        <v>116</v>
      </c>
      <c r="D41" s="38"/>
    </row>
    <row r="42" spans="1:4" x14ac:dyDescent="0.2">
      <c r="A42" s="38" t="s">
        <v>59</v>
      </c>
      <c r="B42" s="39" t="s">
        <v>60</v>
      </c>
      <c r="C42" s="38" t="s">
        <v>116</v>
      </c>
      <c r="D42" s="38"/>
    </row>
    <row r="43" spans="1:4" x14ac:dyDescent="0.2">
      <c r="A43" s="38" t="s">
        <v>63</v>
      </c>
      <c r="B43" s="39" t="s">
        <v>64</v>
      </c>
      <c r="C43" s="38">
        <v>12345678</v>
      </c>
      <c r="D43" s="38"/>
    </row>
    <row r="44" spans="1:4" x14ac:dyDescent="0.2">
      <c r="A44" s="38" t="s">
        <v>66</v>
      </c>
      <c r="B44" s="39" t="s">
        <v>67</v>
      </c>
      <c r="C44" s="38">
        <v>5678</v>
      </c>
      <c r="D44" s="38"/>
    </row>
    <row r="45" spans="1:4" x14ac:dyDescent="0.2">
      <c r="A45" s="38" t="s">
        <v>68</v>
      </c>
      <c r="B45" s="39" t="s">
        <v>69</v>
      </c>
      <c r="C45" s="38">
        <v>12345678</v>
      </c>
      <c r="D45" s="38"/>
    </row>
    <row r="46" spans="1:4" x14ac:dyDescent="0.2">
      <c r="A46" s="38" t="s">
        <v>71</v>
      </c>
      <c r="B46" s="39" t="s">
        <v>72</v>
      </c>
      <c r="C46" s="38">
        <v>5678</v>
      </c>
      <c r="D46" s="38"/>
    </row>
    <row r="47" spans="1:4" x14ac:dyDescent="0.2">
      <c r="A47" s="38" t="s">
        <v>47</v>
      </c>
      <c r="B47" s="39" t="s">
        <v>151</v>
      </c>
      <c r="C47" s="38">
        <v>5678</v>
      </c>
      <c r="D47" s="38"/>
    </row>
    <row r="48" spans="1:4" x14ac:dyDescent="0.2">
      <c r="A48" s="38" t="s">
        <v>82</v>
      </c>
      <c r="B48" s="39" t="s">
        <v>159</v>
      </c>
      <c r="C48" s="38" t="s">
        <v>117</v>
      </c>
      <c r="D48" s="38"/>
    </row>
    <row r="49" spans="1:4" ht="25.5" x14ac:dyDescent="0.2">
      <c r="A49" s="42" t="s">
        <v>154</v>
      </c>
      <c r="B49" s="43" t="s">
        <v>182</v>
      </c>
      <c r="C49" s="42" t="s">
        <v>117</v>
      </c>
      <c r="D49" s="42" t="s">
        <v>119</v>
      </c>
    </row>
    <row r="50" spans="1:4" x14ac:dyDescent="0.2">
      <c r="A50" s="38" t="s">
        <v>83</v>
      </c>
      <c r="B50" s="39" t="s">
        <v>84</v>
      </c>
      <c r="C50" s="38" t="s">
        <v>117</v>
      </c>
      <c r="D50" s="38"/>
    </row>
    <row r="51" spans="1:4" x14ac:dyDescent="0.2">
      <c r="A51" s="38" t="s">
        <v>91</v>
      </c>
      <c r="B51" s="39" t="s">
        <v>92</v>
      </c>
      <c r="C51" s="38" t="s">
        <v>161</v>
      </c>
      <c r="D51" s="38" t="s">
        <v>119</v>
      </c>
    </row>
    <row r="52" spans="1:4" x14ac:dyDescent="0.2">
      <c r="A52" s="38" t="s">
        <v>164</v>
      </c>
      <c r="B52" s="39" t="s">
        <v>181</v>
      </c>
      <c r="C52" s="38">
        <v>1458</v>
      </c>
      <c r="D52" s="38"/>
    </row>
    <row r="53" spans="1:4" x14ac:dyDescent="0.2">
      <c r="A53" s="38" t="s">
        <v>152</v>
      </c>
      <c r="B53" s="39" t="s">
        <v>153</v>
      </c>
      <c r="C53" s="38" t="s">
        <v>116</v>
      </c>
      <c r="D53" s="38" t="s">
        <v>119</v>
      </c>
    </row>
    <row r="54" spans="1:4" x14ac:dyDescent="0.2">
      <c r="A54" s="38" t="s">
        <v>183</v>
      </c>
      <c r="B54" s="39" t="s">
        <v>190</v>
      </c>
      <c r="C54" s="38">
        <v>1</v>
      </c>
      <c r="D54" s="38" t="s">
        <v>119</v>
      </c>
    </row>
    <row r="55" spans="1:4" x14ac:dyDescent="0.2">
      <c r="A55" s="38" t="s">
        <v>184</v>
      </c>
      <c r="B55" s="39" t="s">
        <v>191</v>
      </c>
      <c r="C55" s="38" t="s">
        <v>116</v>
      </c>
      <c r="D55" s="38" t="s">
        <v>119</v>
      </c>
    </row>
  </sheetData>
  <sortState xmlns:xlrd2="http://schemas.microsoft.com/office/spreadsheetml/2017/richdata2" ref="A17:H26">
    <sortCondition ref="E17:E26"/>
    <sortCondition ref="A17:A26"/>
  </sortState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Model</vt:lpstr>
      <vt:lpstr>Data</vt:lpstr>
      <vt:lpstr>Capacitor</vt:lpstr>
      <vt:lpstr>Diode</vt:lpstr>
      <vt:lpstr>Inductor</vt:lpstr>
      <vt:lpstr>Inputs</vt:lpstr>
      <vt:lpstr>Picklist</vt:lpstr>
      <vt:lpstr>PinNames</vt:lpstr>
      <vt:lpstr>TypeTable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Fait, Milan (DI SW EDA EBS ENG ANV VVT VAL)</dc:creator>
  <cp:lastModifiedBy>Fait, Milan (DI SW EDA EBS ENG ANV VVT VAL)</cp:lastModifiedBy>
  <dcterms:created xsi:type="dcterms:W3CDTF">2024-09-16T13:36:37Z</dcterms:created>
  <dcterms:modified xsi:type="dcterms:W3CDTF">2024-10-28T14:28:26Z</dcterms:modified>
</cp:coreProperties>
</file>